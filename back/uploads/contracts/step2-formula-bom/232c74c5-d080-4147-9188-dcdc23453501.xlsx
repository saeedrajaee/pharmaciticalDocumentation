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94BA27B-C866-4027-9659-6CEEF8DA519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cale Up" sheetId="1" r:id="rId1"/>
    <sheet name="Pivot" sheetId="2" r:id="rId2"/>
    <sheet name="Analysis" sheetId="3" r:id="rId3"/>
  </sheets>
  <definedNames>
    <definedName name="_xlnm._FilterDatabase" localSheetId="0" hidden="1">'Scale Up'!$A$1:$D$33</definedName>
  </definedName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</calcChain>
</file>

<file path=xl/sharedStrings.xml><?xml version="1.0" encoding="utf-8"?>
<sst xmlns="http://schemas.openxmlformats.org/spreadsheetml/2006/main" count="280" uniqueCount="97">
  <si>
    <t>Product</t>
  </si>
  <si>
    <t>Launch Time</t>
  </si>
  <si>
    <t>Scale Up Time</t>
  </si>
  <si>
    <t>Local Calendar / Notes</t>
  </si>
  <si>
    <t>Terbinafine</t>
  </si>
  <si>
    <t>Nov 2026</t>
  </si>
  <si>
    <t>Jul 2026</t>
  </si>
  <si>
    <t>?</t>
  </si>
  <si>
    <t>Imiquimod (2)</t>
  </si>
  <si>
    <t>Jan 2027</t>
  </si>
  <si>
    <t>Aug 2026</t>
  </si>
  <si>
    <t>Desixil</t>
  </si>
  <si>
    <t>Ruxolitinib</t>
  </si>
  <si>
    <t>Feb 2027</t>
  </si>
  <si>
    <t>Sep 2026</t>
  </si>
  <si>
    <t>1405 ورزهر</t>
  </si>
  <si>
    <t>Calcipotriene + B</t>
  </si>
  <si>
    <t>Apr 2027</t>
  </si>
  <si>
    <t>1405 آبان</t>
  </si>
  <si>
    <t>Roflumilast (3)</t>
  </si>
  <si>
    <t>May 2027</t>
  </si>
  <si>
    <t>Dec 2026</t>
  </si>
  <si>
    <t>1405 آذر</t>
  </si>
  <si>
    <t>Biofreeze Family (2)</t>
  </si>
  <si>
    <t>Insect Body Spray (2)</t>
  </si>
  <si>
    <t>Crisaborole</t>
  </si>
  <si>
    <t>Tacrolimus</t>
  </si>
  <si>
    <t>Jun 2027</t>
  </si>
  <si>
    <t>1405 دی</t>
  </si>
  <si>
    <t>Pimecrolimus</t>
  </si>
  <si>
    <t>Jul 2027</t>
  </si>
  <si>
    <t>1405 بهمن</t>
  </si>
  <si>
    <t>Triluma</t>
  </si>
  <si>
    <t>Panoxizan (5,10)</t>
  </si>
  <si>
    <t>Sep 2027</t>
  </si>
  <si>
    <t>1406 فرورد</t>
  </si>
  <si>
    <t>Ialugen Plus</t>
  </si>
  <si>
    <t>Oct 2027</t>
  </si>
  <si>
    <t>1406 اردیبهشت</t>
  </si>
  <si>
    <t>Apaisante</t>
  </si>
  <si>
    <t>Amorolfine</t>
  </si>
  <si>
    <t>NexCare</t>
  </si>
  <si>
    <t>Trifarotene</t>
  </si>
  <si>
    <t>Nov 2027</t>
  </si>
  <si>
    <t>1406 خرداد</t>
  </si>
  <si>
    <t>Neo Healar (Su&amp;O)</t>
  </si>
  <si>
    <t>Apaisyl (15 min)</t>
  </si>
  <si>
    <t>Osmogel</t>
  </si>
  <si>
    <t>Hydralin</t>
  </si>
  <si>
    <t>Ialugen (G+Sp)</t>
  </si>
  <si>
    <t>Dec 2027</t>
  </si>
  <si>
    <t>1406 تیر</t>
  </si>
  <si>
    <t>Tapinarof</t>
  </si>
  <si>
    <t>Calcipotriol</t>
  </si>
  <si>
    <t>Clascoterone</t>
  </si>
  <si>
    <t>Triple antibiotic (2)</t>
  </si>
  <si>
    <t>Apaisyl (Baby)</t>
  </si>
  <si>
    <t>Apaisyl (Chem 60 min)</t>
  </si>
  <si>
    <t>Tirbanibulin</t>
  </si>
  <si>
    <t>Feb 2028</t>
  </si>
  <si>
    <t>1406 ورزهر</t>
  </si>
  <si>
    <t>Hexomedine (2)</t>
  </si>
  <si>
    <t>Delgocitinib</t>
  </si>
  <si>
    <t>آبان</t>
  </si>
  <si>
    <t>شهریور</t>
  </si>
  <si>
    <t>تیر</t>
  </si>
  <si>
    <t>خرداد</t>
  </si>
  <si>
    <t>اردیبهشت</t>
  </si>
  <si>
    <t>فروردین</t>
  </si>
  <si>
    <t>آذر</t>
  </si>
  <si>
    <t>دی</t>
  </si>
  <si>
    <t>بهمن</t>
  </si>
  <si>
    <t>Time</t>
  </si>
  <si>
    <t>Monthe</t>
  </si>
  <si>
    <t>Year</t>
  </si>
  <si>
    <t>Row Labels</t>
  </si>
  <si>
    <t>آبان 1405</t>
  </si>
  <si>
    <t>آذر 1405</t>
  </si>
  <si>
    <t>اردیبهشت 1406</t>
  </si>
  <si>
    <t>بهمن 1405</t>
  </si>
  <si>
    <t>تیر 1406</t>
  </si>
  <si>
    <t>خرداد 1406</t>
  </si>
  <si>
    <t>دی 1405</t>
  </si>
  <si>
    <t>شهریور 1405</t>
  </si>
  <si>
    <t>شهریور 1406</t>
  </si>
  <si>
    <t>فروردین 1406</t>
  </si>
  <si>
    <t>(blank)</t>
  </si>
  <si>
    <t>Grand Total</t>
  </si>
  <si>
    <t>Count of Product</t>
  </si>
  <si>
    <t>Date</t>
  </si>
  <si>
    <t>Count</t>
  </si>
  <si>
    <t>Total</t>
  </si>
  <si>
    <t>مهر 1405</t>
  </si>
  <si>
    <t>اسفند 1405</t>
  </si>
  <si>
    <t>مرداد 1406</t>
  </si>
  <si>
    <t>Product Name</t>
  </si>
  <si>
    <t>مهر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</si>
</sst>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5F7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  <border>
      <left style="thin">
        <color rgb="FFD7DCE3"/>
      </left>
      <right/>
      <top/>
      <bottom/>
      <diagonal/>
    </border>
    <border>
      <left style="thin">
        <color rgb="FFD7DCE3"/>
      </left>
      <right style="thin">
        <color rgb="FFD7DCE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3" borderId="0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6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55.493410532406" createdVersion="8" refreshedVersion="8" minRefreshableVersion="3" recordCount="33" xr:uid="{95C25FCB-15F8-4A13-8497-E05D0A36E201}">
  <cacheSource type="worksheet">
    <worksheetSource ref="A1:G1048576" sheet="Scale Up"/>
  </cacheSource>
  <cacheFields count="7">
    <cacheField name="Product" numFmtId="0">
      <sharedItems containsBlank="1" count="33">
        <s v="Ruxolitinib"/>
        <s v="Terbinafine"/>
        <s v="Imiquimod (2)"/>
        <s v="Desixil"/>
        <s v="Calcipotriene + B"/>
        <s v="Roflumilast (3)"/>
        <s v="Biofreeze Family (2)"/>
        <s v="Insect Body Spray (2)"/>
        <s v="Crisaborole"/>
        <s v="Tacrolimus"/>
        <s v="Pimecrolimus"/>
        <s v="Triluma"/>
        <s v="Panoxizan (5,10)"/>
        <s v="Ialugen Plus"/>
        <s v="Apaisante"/>
        <s v="Amorolfine"/>
        <s v="NexCare"/>
        <s v="Trifarotene"/>
        <s v="Neo Healar (Su&amp;O)"/>
        <s v="Apaisyl (15 min)"/>
        <s v="Osmogel"/>
        <s v="Hydralin"/>
        <s v="Ialugen (G+Sp)"/>
        <s v="Tapinarof"/>
        <s v="Calcipotriol"/>
        <s v="Clascoterone"/>
        <s v="Triple antibiotic (2)"/>
        <s v="Apaisyl (Baby)"/>
        <s v="Apaisyl (Chem 60 min)"/>
        <s v="Tirbanibulin"/>
        <s v="Hexomedine (2)"/>
        <s v="Delgocitinib"/>
        <m/>
      </sharedItems>
    </cacheField>
    <cacheField name="Launch Time" numFmtId="0">
      <sharedItems containsBlank="1"/>
    </cacheField>
    <cacheField name="Scale Up Time" numFmtId="0">
      <sharedItems containsBlank="1"/>
    </cacheField>
    <cacheField name="Local Calendar / Notes" numFmtId="0">
      <sharedItems containsBlank="1"/>
    </cacheField>
    <cacheField name="Monthe" numFmtId="0">
      <sharedItems containsBlank="1"/>
    </cacheField>
    <cacheField name="Year" numFmtId="0">
      <sharedItems containsString="0" containsBlank="1" containsNumber="1" containsInteger="1" minValue="1405" maxValue="1406"/>
    </cacheField>
    <cacheField name="Time" numFmtId="0">
      <sharedItems containsBlank="1" count="12">
        <s v="شهریور 1405"/>
        <s v="آبان 1405"/>
        <s v="مهر 1405"/>
        <s v="آذر 1405"/>
        <s v="دی 1405"/>
        <s v="بهمن 1405"/>
        <s v="فروردین 1406"/>
        <s v="اردیبهشت 1406"/>
        <s v="خرداد 1406"/>
        <s v="تیر 1406"/>
        <s v="شهریور 140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Feb 2027"/>
    <s v="Sep 2026"/>
    <s v="1405 ورزهر"/>
    <s v="شهریور"/>
    <n v="1405"/>
    <x v="0"/>
  </r>
  <r>
    <x v="1"/>
    <s v="Nov 2026"/>
    <s v="Jul 2026"/>
    <s v="?"/>
    <s v="آبان"/>
    <n v="1405"/>
    <x v="1"/>
  </r>
  <r>
    <x v="2"/>
    <s v="Jan 2027"/>
    <s v="Aug 2026"/>
    <s v="?"/>
    <s v="مهر"/>
    <n v="1405"/>
    <x v="2"/>
  </r>
  <r>
    <x v="3"/>
    <s v="Jan 2027"/>
    <s v="Aug 2026"/>
    <s v="?"/>
    <s v="آبان"/>
    <n v="1405"/>
    <x v="1"/>
  </r>
  <r>
    <x v="4"/>
    <s v="Apr 2027"/>
    <s v="Nov 2026"/>
    <s v="1405 آبان"/>
    <s v="آبان"/>
    <n v="1405"/>
    <x v="1"/>
  </r>
  <r>
    <x v="5"/>
    <s v="May 2027"/>
    <s v="Dec 2026"/>
    <s v="1405 آذر"/>
    <s v="آذر"/>
    <n v="1405"/>
    <x v="3"/>
  </r>
  <r>
    <x v="6"/>
    <s v="May 2027"/>
    <s v="Dec 2026"/>
    <s v="1405 آذر"/>
    <s v="آذر"/>
    <n v="1405"/>
    <x v="3"/>
  </r>
  <r>
    <x v="7"/>
    <s v="May 2027"/>
    <s v="Dec 2026"/>
    <s v="1405 آذر"/>
    <s v="آذر"/>
    <n v="1405"/>
    <x v="3"/>
  </r>
  <r>
    <x v="8"/>
    <s v="May 2027"/>
    <s v="Dec 2026"/>
    <s v="1405 آذر"/>
    <s v="آذر"/>
    <n v="1405"/>
    <x v="3"/>
  </r>
  <r>
    <x v="9"/>
    <s v="Jun 2027"/>
    <s v="Jan 2027"/>
    <s v="1405 دی"/>
    <s v="دی"/>
    <n v="1405"/>
    <x v="4"/>
  </r>
  <r>
    <x v="10"/>
    <s v="Jul 2027"/>
    <s v="Feb 2027"/>
    <s v="1405 بهمن"/>
    <s v="بهمن"/>
    <n v="1405"/>
    <x v="5"/>
  </r>
  <r>
    <x v="11"/>
    <s v="Jul 2027"/>
    <s v="Feb 2027"/>
    <s v="1405 بهمن"/>
    <s v="بهمن"/>
    <n v="1405"/>
    <x v="5"/>
  </r>
  <r>
    <x v="12"/>
    <s v="Sep 2027"/>
    <s v="Apr 2027"/>
    <s v="1406 فرورد"/>
    <s v="فروردین"/>
    <n v="1406"/>
    <x v="6"/>
  </r>
  <r>
    <x v="13"/>
    <s v="Oct 2027"/>
    <s v="May 2027"/>
    <s v="1406 اردیبهشت"/>
    <s v="اردیبهشت"/>
    <n v="1406"/>
    <x v="7"/>
  </r>
  <r>
    <x v="14"/>
    <s v="Oct 2027"/>
    <s v="May 2027"/>
    <s v="1406 اردیبهشت"/>
    <s v="اردیبهشت"/>
    <n v="1406"/>
    <x v="7"/>
  </r>
  <r>
    <x v="15"/>
    <s v="Oct 2027"/>
    <s v="May 2027"/>
    <s v="1406 اردیبهشت"/>
    <s v="اردیبهشت"/>
    <n v="1406"/>
    <x v="7"/>
  </r>
  <r>
    <x v="16"/>
    <s v="Oct 2027"/>
    <s v="May 2027"/>
    <s v="1406 اردیبهشت"/>
    <s v="اردیبهشت"/>
    <n v="1406"/>
    <x v="7"/>
  </r>
  <r>
    <x v="17"/>
    <s v="Nov 2027"/>
    <s v="Jun 2027"/>
    <s v="1406 خرداد"/>
    <s v="خرداد"/>
    <n v="1406"/>
    <x v="8"/>
  </r>
  <r>
    <x v="18"/>
    <s v="Nov 2027"/>
    <s v="Jun 2027"/>
    <s v="1406 خرداد"/>
    <s v="خرداد"/>
    <n v="1406"/>
    <x v="8"/>
  </r>
  <r>
    <x v="19"/>
    <s v="Nov 2027"/>
    <s v="Jun 2027"/>
    <s v="1406 خرداد"/>
    <s v="خرداد"/>
    <n v="1406"/>
    <x v="8"/>
  </r>
  <r>
    <x v="20"/>
    <s v="Nov 2027"/>
    <s v="Jun 2027"/>
    <s v="1406 خرداد"/>
    <s v="خرداد"/>
    <n v="1406"/>
    <x v="8"/>
  </r>
  <r>
    <x v="21"/>
    <s v="Nov 2027"/>
    <s v="Jun 2027"/>
    <s v="1406 خرداد"/>
    <s v="خرداد"/>
    <n v="1406"/>
    <x v="8"/>
  </r>
  <r>
    <x v="22"/>
    <s v="Dec 2027"/>
    <s v="Jul 2027"/>
    <s v="1406 تیر"/>
    <s v="تیر"/>
    <n v="1406"/>
    <x v="9"/>
  </r>
  <r>
    <x v="23"/>
    <s v="Dec 2027"/>
    <s v="Jul 2027"/>
    <s v="1406 تیر"/>
    <s v="تیر"/>
    <n v="1406"/>
    <x v="9"/>
  </r>
  <r>
    <x v="24"/>
    <s v="Dec 2027"/>
    <s v="Jul 2027"/>
    <s v="1406 تیر"/>
    <s v="تیر"/>
    <n v="1406"/>
    <x v="9"/>
  </r>
  <r>
    <x v="25"/>
    <s v="Dec 2027"/>
    <s v="Jul 2027"/>
    <s v="1406 تیر"/>
    <s v="تیر"/>
    <n v="1406"/>
    <x v="9"/>
  </r>
  <r>
    <x v="26"/>
    <s v="Dec 2027"/>
    <s v="Jul 2027"/>
    <s v="1406 تیر"/>
    <s v="تیر"/>
    <n v="1406"/>
    <x v="9"/>
  </r>
  <r>
    <x v="27"/>
    <s v="Dec 2027"/>
    <s v="Jul 2027"/>
    <s v="1406 تیر"/>
    <s v="تیر"/>
    <n v="1406"/>
    <x v="9"/>
  </r>
  <r>
    <x v="28"/>
    <s v="Dec 2027"/>
    <s v="Jul 2027"/>
    <s v="1406 تیر"/>
    <s v="تیر"/>
    <n v="1406"/>
    <x v="9"/>
  </r>
  <r>
    <x v="29"/>
    <s v="Feb 2028"/>
    <s v="Sep 2027"/>
    <s v="1406 ورزهر"/>
    <s v="شهریور"/>
    <n v="1406"/>
    <x v="10"/>
  </r>
  <r>
    <x v="30"/>
    <s v="Feb 2028"/>
    <s v="Sep 2027"/>
    <s v="1406 ورزهر"/>
    <s v="شهریور"/>
    <n v="1406"/>
    <x v="10"/>
  </r>
  <r>
    <x v="31"/>
    <s v="Feb 2028"/>
    <s v="Sep 2027"/>
    <s v="1406 ورزهر"/>
    <s v="شهریور"/>
    <n v="1406"/>
    <x v="10"/>
  </r>
  <r>
    <x v="32"/>
    <m/>
    <m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B04DD-0111-4B6F-B4DF-09B5A253D3C7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9" firstHeaderRow="1" firstDataRow="1" firstDataCol="1"/>
  <pivotFields count="7">
    <pivotField axis="axisRow" dataField="1" showAll="0">
      <items count="34">
        <item x="15"/>
        <item x="14"/>
        <item x="19"/>
        <item x="27"/>
        <item x="28"/>
        <item x="6"/>
        <item x="4"/>
        <item x="24"/>
        <item x="25"/>
        <item x="8"/>
        <item x="31"/>
        <item x="3"/>
        <item x="30"/>
        <item x="21"/>
        <item x="22"/>
        <item x="13"/>
        <item x="2"/>
        <item x="7"/>
        <item x="18"/>
        <item x="16"/>
        <item x="20"/>
        <item x="12"/>
        <item x="10"/>
        <item x="5"/>
        <item x="0"/>
        <item x="9"/>
        <item x="23"/>
        <item x="1"/>
        <item x="29"/>
        <item x="17"/>
        <item x="11"/>
        <item x="26"/>
        <item x="3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3"/>
        <item x="4"/>
        <item x="5"/>
        <item x="6"/>
        <item x="7"/>
        <item x="8"/>
        <item x="9"/>
        <item x="10"/>
        <item x="11"/>
        <item x="2"/>
        <item t="default"/>
      </items>
    </pivotField>
  </pivotFields>
  <rowFields count="2">
    <field x="6"/>
    <field x="0"/>
  </rowFields>
  <rowItems count="46">
    <i>
      <x/>
    </i>
    <i r="1">
      <x v="24"/>
    </i>
    <i>
      <x v="1"/>
    </i>
    <i r="1">
      <x v="6"/>
    </i>
    <i r="1">
      <x v="11"/>
    </i>
    <i r="1">
      <x v="27"/>
    </i>
    <i>
      <x v="2"/>
    </i>
    <i r="1">
      <x v="5"/>
    </i>
    <i r="1">
      <x v="9"/>
    </i>
    <i r="1">
      <x v="17"/>
    </i>
    <i r="1">
      <x v="23"/>
    </i>
    <i>
      <x v="3"/>
    </i>
    <i r="1">
      <x v="25"/>
    </i>
    <i>
      <x v="4"/>
    </i>
    <i r="1">
      <x v="22"/>
    </i>
    <i r="1">
      <x v="30"/>
    </i>
    <i>
      <x v="5"/>
    </i>
    <i r="1">
      <x v="21"/>
    </i>
    <i>
      <x v="6"/>
    </i>
    <i r="1">
      <x/>
    </i>
    <i r="1">
      <x v="1"/>
    </i>
    <i r="1">
      <x v="15"/>
    </i>
    <i r="1">
      <x v="19"/>
    </i>
    <i>
      <x v="7"/>
    </i>
    <i r="1">
      <x v="2"/>
    </i>
    <i r="1">
      <x v="13"/>
    </i>
    <i r="1">
      <x v="18"/>
    </i>
    <i r="1">
      <x v="20"/>
    </i>
    <i r="1">
      <x v="29"/>
    </i>
    <i>
      <x v="8"/>
    </i>
    <i r="1">
      <x v="3"/>
    </i>
    <i r="1">
      <x v="4"/>
    </i>
    <i r="1">
      <x v="7"/>
    </i>
    <i r="1">
      <x v="8"/>
    </i>
    <i r="1">
      <x v="14"/>
    </i>
    <i r="1">
      <x v="26"/>
    </i>
    <i r="1">
      <x v="31"/>
    </i>
    <i>
      <x v="9"/>
    </i>
    <i r="1">
      <x v="10"/>
    </i>
    <i r="1">
      <x v="12"/>
    </i>
    <i r="1">
      <x v="28"/>
    </i>
    <i>
      <x v="10"/>
    </i>
    <i r="1">
      <x v="32"/>
    </i>
    <i>
      <x v="11"/>
    </i>
    <i r="1">
      <x v="16"/>
    </i>
    <i t="grand">
      <x/>
    </i>
  </rowItems>
  <colItems count="1">
    <i/>
  </colItems>
  <dataFields count="1">
    <dataField name="Count of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pane ySplit="1" topLeftCell="A2" activePane="bottomLeft" state="frozen"/>
      <selection pane="bottomLeft" activeCell="E4" sqref="E4"/>
    </sheetView>
  </sheetViews>
  <sheetFormatPr defaultColWidth="13.33203125" defaultRowHeight="14.4" x14ac:dyDescent="0.3"/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73</v>
      </c>
      <c r="F1" s="7" t="s">
        <v>74</v>
      </c>
      <c r="G1" s="6" t="s">
        <v>72</v>
      </c>
    </row>
    <row r="2" spans="1:7" x14ac:dyDescent="0.3">
      <c r="A2" s="3" t="s">
        <v>12</v>
      </c>
      <c r="B2" s="3" t="s">
        <v>13</v>
      </c>
      <c r="C2" s="3" t="s">
        <v>14</v>
      </c>
      <c r="D2" s="3" t="s">
        <v>15</v>
      </c>
      <c r="E2" s="5" t="s">
        <v>64</v>
      </c>
      <c r="F2">
        <v>1405</v>
      </c>
      <c r="G2" t="str">
        <f t="shared" ref="G2:G33" si="0">E2&amp;" "&amp;F2</f>
        <v>شهریور 1405</v>
      </c>
    </row>
    <row r="3" spans="1:7" x14ac:dyDescent="0.3">
      <c r="A3" s="2" t="s">
        <v>4</v>
      </c>
      <c r="B3" s="2" t="s">
        <v>5</v>
      </c>
      <c r="C3" s="2" t="s">
        <v>6</v>
      </c>
      <c r="D3" s="2" t="s">
        <v>7</v>
      </c>
      <c r="E3" s="4" t="s">
        <v>63</v>
      </c>
      <c r="F3">
        <v>1405</v>
      </c>
      <c r="G3" t="str">
        <f>E3&amp;" "&amp;F3</f>
        <v>آبان 1405</v>
      </c>
    </row>
    <row r="4" spans="1:7" x14ac:dyDescent="0.3">
      <c r="A4" s="3" t="s">
        <v>8</v>
      </c>
      <c r="B4" s="3" t="s">
        <v>9</v>
      </c>
      <c r="C4" s="3" t="s">
        <v>10</v>
      </c>
      <c r="D4" s="3" t="s">
        <v>7</v>
      </c>
      <c r="E4" s="4" t="s">
        <v>96</v>
      </c>
      <c r="F4">
        <v>1405</v>
      </c>
      <c r="G4" t="str">
        <f>E4&amp;" "&amp;F4</f>
        <v>مهر 1405</v>
      </c>
    </row>
    <row r="5" spans="1:7" x14ac:dyDescent="0.3">
      <c r="A5" s="2" t="s">
        <v>11</v>
      </c>
      <c r="B5" s="2" t="s">
        <v>9</v>
      </c>
      <c r="C5" s="2" t="s">
        <v>10</v>
      </c>
      <c r="D5" s="2" t="s">
        <v>7</v>
      </c>
      <c r="E5" s="4" t="s">
        <v>63</v>
      </c>
      <c r="F5">
        <v>1405</v>
      </c>
      <c r="G5" t="str">
        <f>E5&amp;" "&amp;F5</f>
        <v>آبان 1405</v>
      </c>
    </row>
    <row r="6" spans="1:7" x14ac:dyDescent="0.3">
      <c r="A6" s="2" t="s">
        <v>16</v>
      </c>
      <c r="B6" s="2" t="s">
        <v>17</v>
      </c>
      <c r="C6" s="2" t="s">
        <v>5</v>
      </c>
      <c r="D6" s="2" t="s">
        <v>18</v>
      </c>
      <c r="E6" s="4" t="s">
        <v>63</v>
      </c>
      <c r="F6">
        <v>1405</v>
      </c>
      <c r="G6" t="str">
        <f t="shared" si="0"/>
        <v>آبان 1405</v>
      </c>
    </row>
    <row r="7" spans="1:7" x14ac:dyDescent="0.3">
      <c r="A7" s="3" t="s">
        <v>19</v>
      </c>
      <c r="B7" s="3" t="s">
        <v>20</v>
      </c>
      <c r="C7" s="3" t="s">
        <v>21</v>
      </c>
      <c r="D7" s="3" t="s">
        <v>22</v>
      </c>
      <c r="E7" s="5" t="s">
        <v>69</v>
      </c>
      <c r="F7">
        <v>1405</v>
      </c>
      <c r="G7" t="str">
        <f t="shared" si="0"/>
        <v>آذر 1405</v>
      </c>
    </row>
    <row r="8" spans="1:7" x14ac:dyDescent="0.3">
      <c r="A8" s="2" t="s">
        <v>23</v>
      </c>
      <c r="B8" s="2" t="s">
        <v>20</v>
      </c>
      <c r="C8" s="2" t="s">
        <v>21</v>
      </c>
      <c r="D8" s="2" t="s">
        <v>22</v>
      </c>
      <c r="E8" s="5" t="s">
        <v>69</v>
      </c>
      <c r="F8">
        <v>1405</v>
      </c>
      <c r="G8" t="str">
        <f t="shared" si="0"/>
        <v>آذر 1405</v>
      </c>
    </row>
    <row r="9" spans="1:7" x14ac:dyDescent="0.3">
      <c r="A9" s="3" t="s">
        <v>24</v>
      </c>
      <c r="B9" s="3" t="s">
        <v>20</v>
      </c>
      <c r="C9" s="3" t="s">
        <v>21</v>
      </c>
      <c r="D9" s="3" t="s">
        <v>22</v>
      </c>
      <c r="E9" s="5" t="s">
        <v>69</v>
      </c>
      <c r="F9">
        <v>1405</v>
      </c>
      <c r="G9" t="str">
        <f t="shared" si="0"/>
        <v>آذر 1405</v>
      </c>
    </row>
    <row r="10" spans="1:7" x14ac:dyDescent="0.3">
      <c r="A10" s="2" t="s">
        <v>25</v>
      </c>
      <c r="B10" s="2" t="s">
        <v>20</v>
      </c>
      <c r="C10" s="2" t="s">
        <v>21</v>
      </c>
      <c r="D10" s="2" t="s">
        <v>22</v>
      </c>
      <c r="E10" s="5" t="s">
        <v>69</v>
      </c>
      <c r="F10">
        <v>1405</v>
      </c>
      <c r="G10" t="str">
        <f t="shared" si="0"/>
        <v>آذر 1405</v>
      </c>
    </row>
    <row r="11" spans="1:7" x14ac:dyDescent="0.3">
      <c r="A11" s="3" t="s">
        <v>26</v>
      </c>
      <c r="B11" s="3" t="s">
        <v>27</v>
      </c>
      <c r="C11" s="3" t="s">
        <v>9</v>
      </c>
      <c r="D11" s="3" t="s">
        <v>28</v>
      </c>
      <c r="E11" s="5" t="s">
        <v>70</v>
      </c>
      <c r="F11">
        <v>1405</v>
      </c>
      <c r="G11" t="str">
        <f t="shared" si="0"/>
        <v>دی 1405</v>
      </c>
    </row>
    <row r="12" spans="1:7" x14ac:dyDescent="0.3">
      <c r="A12" s="2" t="s">
        <v>29</v>
      </c>
      <c r="B12" s="2" t="s">
        <v>30</v>
      </c>
      <c r="C12" s="2" t="s">
        <v>13</v>
      </c>
      <c r="D12" s="2" t="s">
        <v>31</v>
      </c>
      <c r="E12" s="5" t="s">
        <v>71</v>
      </c>
      <c r="F12">
        <v>1405</v>
      </c>
      <c r="G12" t="str">
        <f t="shared" si="0"/>
        <v>بهمن 1405</v>
      </c>
    </row>
    <row r="13" spans="1:7" x14ac:dyDescent="0.3">
      <c r="A13" s="3" t="s">
        <v>32</v>
      </c>
      <c r="B13" s="3" t="s">
        <v>30</v>
      </c>
      <c r="C13" s="3" t="s">
        <v>13</v>
      </c>
      <c r="D13" s="3" t="s">
        <v>31</v>
      </c>
      <c r="E13" s="5" t="s">
        <v>71</v>
      </c>
      <c r="F13">
        <v>1405</v>
      </c>
      <c r="G13" t="str">
        <f t="shared" si="0"/>
        <v>بهمن 1405</v>
      </c>
    </row>
    <row r="14" spans="1:7" x14ac:dyDescent="0.3">
      <c r="A14" s="2" t="s">
        <v>33</v>
      </c>
      <c r="B14" s="2" t="s">
        <v>34</v>
      </c>
      <c r="C14" s="2" t="s">
        <v>17</v>
      </c>
      <c r="D14" s="2" t="s">
        <v>35</v>
      </c>
      <c r="E14" s="4" t="s">
        <v>68</v>
      </c>
      <c r="F14">
        <v>1406</v>
      </c>
      <c r="G14" t="str">
        <f t="shared" si="0"/>
        <v>فروردین 1406</v>
      </c>
    </row>
    <row r="15" spans="1:7" x14ac:dyDescent="0.3">
      <c r="A15" s="3" t="s">
        <v>36</v>
      </c>
      <c r="B15" s="3" t="s">
        <v>37</v>
      </c>
      <c r="C15" s="3" t="s">
        <v>20</v>
      </c>
      <c r="D15" s="3" t="s">
        <v>38</v>
      </c>
      <c r="E15" s="4" t="s">
        <v>67</v>
      </c>
      <c r="F15">
        <v>1406</v>
      </c>
      <c r="G15" t="str">
        <f t="shared" si="0"/>
        <v>اردیبهشت 1406</v>
      </c>
    </row>
    <row r="16" spans="1:7" x14ac:dyDescent="0.3">
      <c r="A16" s="2" t="s">
        <v>39</v>
      </c>
      <c r="B16" s="2" t="s">
        <v>37</v>
      </c>
      <c r="C16" s="2" t="s">
        <v>20</v>
      </c>
      <c r="D16" s="2" t="s">
        <v>38</v>
      </c>
      <c r="E16" s="4" t="s">
        <v>67</v>
      </c>
      <c r="F16">
        <v>1406</v>
      </c>
      <c r="G16" t="str">
        <f t="shared" si="0"/>
        <v>اردیبهشت 1406</v>
      </c>
    </row>
    <row r="17" spans="1:7" x14ac:dyDescent="0.3">
      <c r="A17" s="3" t="s">
        <v>40</v>
      </c>
      <c r="B17" s="3" t="s">
        <v>37</v>
      </c>
      <c r="C17" s="3" t="s">
        <v>20</v>
      </c>
      <c r="D17" s="3" t="s">
        <v>38</v>
      </c>
      <c r="E17" s="4" t="s">
        <v>67</v>
      </c>
      <c r="F17">
        <v>1406</v>
      </c>
      <c r="G17" t="str">
        <f t="shared" si="0"/>
        <v>اردیبهشت 1406</v>
      </c>
    </row>
    <row r="18" spans="1:7" x14ac:dyDescent="0.3">
      <c r="A18" s="2" t="s">
        <v>41</v>
      </c>
      <c r="B18" s="2" t="s">
        <v>37</v>
      </c>
      <c r="C18" s="2" t="s">
        <v>20</v>
      </c>
      <c r="D18" s="2" t="s">
        <v>38</v>
      </c>
      <c r="E18" s="4" t="s">
        <v>67</v>
      </c>
      <c r="F18">
        <v>1406</v>
      </c>
      <c r="G18" t="str">
        <f t="shared" si="0"/>
        <v>اردیبهشت 1406</v>
      </c>
    </row>
    <row r="19" spans="1:7" x14ac:dyDescent="0.3">
      <c r="A19" s="3" t="s">
        <v>42</v>
      </c>
      <c r="B19" s="3" t="s">
        <v>43</v>
      </c>
      <c r="C19" s="3" t="s">
        <v>27</v>
      </c>
      <c r="D19" s="3" t="s">
        <v>44</v>
      </c>
      <c r="E19" t="s">
        <v>66</v>
      </c>
      <c r="F19">
        <v>1406</v>
      </c>
      <c r="G19" t="str">
        <f t="shared" si="0"/>
        <v>خرداد 1406</v>
      </c>
    </row>
    <row r="20" spans="1:7" x14ac:dyDescent="0.3">
      <c r="A20" s="2" t="s">
        <v>45</v>
      </c>
      <c r="B20" s="2" t="s">
        <v>43</v>
      </c>
      <c r="C20" s="2" t="s">
        <v>27</v>
      </c>
      <c r="D20" s="2" t="s">
        <v>44</v>
      </c>
      <c r="E20" t="s">
        <v>66</v>
      </c>
      <c r="F20">
        <v>1406</v>
      </c>
      <c r="G20" t="str">
        <f t="shared" si="0"/>
        <v>خرداد 1406</v>
      </c>
    </row>
    <row r="21" spans="1:7" x14ac:dyDescent="0.3">
      <c r="A21" s="3" t="s">
        <v>46</v>
      </c>
      <c r="B21" s="3" t="s">
        <v>43</v>
      </c>
      <c r="C21" s="3" t="s">
        <v>27</v>
      </c>
      <c r="D21" s="3" t="s">
        <v>44</v>
      </c>
      <c r="E21" t="s">
        <v>66</v>
      </c>
      <c r="F21">
        <v>1406</v>
      </c>
      <c r="G21" t="str">
        <f t="shared" si="0"/>
        <v>خرداد 1406</v>
      </c>
    </row>
    <row r="22" spans="1:7" x14ac:dyDescent="0.3">
      <c r="A22" s="2" t="s">
        <v>47</v>
      </c>
      <c r="B22" s="2" t="s">
        <v>43</v>
      </c>
      <c r="C22" s="2" t="s">
        <v>27</v>
      </c>
      <c r="D22" s="2" t="s">
        <v>44</v>
      </c>
      <c r="E22" t="s">
        <v>66</v>
      </c>
      <c r="F22">
        <v>1406</v>
      </c>
      <c r="G22" t="str">
        <f t="shared" si="0"/>
        <v>خرداد 1406</v>
      </c>
    </row>
    <row r="23" spans="1:7" x14ac:dyDescent="0.3">
      <c r="A23" s="3" t="s">
        <v>48</v>
      </c>
      <c r="B23" s="3" t="s">
        <v>43</v>
      </c>
      <c r="C23" s="3" t="s">
        <v>27</v>
      </c>
      <c r="D23" s="3" t="s">
        <v>44</v>
      </c>
      <c r="E23" t="s">
        <v>66</v>
      </c>
      <c r="F23">
        <v>1406</v>
      </c>
      <c r="G23" t="str">
        <f t="shared" si="0"/>
        <v>خرداد 1406</v>
      </c>
    </row>
    <row r="24" spans="1:7" x14ac:dyDescent="0.3">
      <c r="A24" s="2" t="s">
        <v>49</v>
      </c>
      <c r="B24" s="2" t="s">
        <v>50</v>
      </c>
      <c r="C24" s="2" t="s">
        <v>30</v>
      </c>
      <c r="D24" s="2" t="s">
        <v>51</v>
      </c>
      <c r="E24" s="4" t="s">
        <v>65</v>
      </c>
      <c r="F24">
        <v>1406</v>
      </c>
      <c r="G24" t="str">
        <f t="shared" si="0"/>
        <v>تیر 1406</v>
      </c>
    </row>
    <row r="25" spans="1:7" x14ac:dyDescent="0.3">
      <c r="A25" s="3" t="s">
        <v>52</v>
      </c>
      <c r="B25" s="3" t="s">
        <v>50</v>
      </c>
      <c r="C25" s="3" t="s">
        <v>30</v>
      </c>
      <c r="D25" s="3" t="s">
        <v>51</v>
      </c>
      <c r="E25" s="4" t="s">
        <v>65</v>
      </c>
      <c r="F25">
        <v>1406</v>
      </c>
      <c r="G25" t="str">
        <f t="shared" si="0"/>
        <v>تیر 1406</v>
      </c>
    </row>
    <row r="26" spans="1:7" x14ac:dyDescent="0.3">
      <c r="A26" s="2" t="s">
        <v>53</v>
      </c>
      <c r="B26" s="2" t="s">
        <v>50</v>
      </c>
      <c r="C26" s="2" t="s">
        <v>30</v>
      </c>
      <c r="D26" s="2" t="s">
        <v>51</v>
      </c>
      <c r="E26" s="4" t="s">
        <v>65</v>
      </c>
      <c r="F26">
        <v>1406</v>
      </c>
      <c r="G26" t="str">
        <f t="shared" si="0"/>
        <v>تیر 1406</v>
      </c>
    </row>
    <row r="27" spans="1:7" x14ac:dyDescent="0.3">
      <c r="A27" s="3" t="s">
        <v>54</v>
      </c>
      <c r="B27" s="3" t="s">
        <v>50</v>
      </c>
      <c r="C27" s="3" t="s">
        <v>30</v>
      </c>
      <c r="D27" s="3" t="s">
        <v>51</v>
      </c>
      <c r="E27" s="4" t="s">
        <v>65</v>
      </c>
      <c r="F27">
        <v>1406</v>
      </c>
      <c r="G27" t="str">
        <f t="shared" si="0"/>
        <v>تیر 1406</v>
      </c>
    </row>
    <row r="28" spans="1:7" x14ac:dyDescent="0.3">
      <c r="A28" s="2" t="s">
        <v>55</v>
      </c>
      <c r="B28" s="2" t="s">
        <v>50</v>
      </c>
      <c r="C28" s="2" t="s">
        <v>30</v>
      </c>
      <c r="D28" s="2" t="s">
        <v>51</v>
      </c>
      <c r="E28" s="4" t="s">
        <v>65</v>
      </c>
      <c r="F28">
        <v>1406</v>
      </c>
      <c r="G28" t="str">
        <f t="shared" si="0"/>
        <v>تیر 1406</v>
      </c>
    </row>
    <row r="29" spans="1:7" x14ac:dyDescent="0.3">
      <c r="A29" s="3" t="s">
        <v>56</v>
      </c>
      <c r="B29" s="3" t="s">
        <v>50</v>
      </c>
      <c r="C29" s="3" t="s">
        <v>30</v>
      </c>
      <c r="D29" s="3" t="s">
        <v>51</v>
      </c>
      <c r="E29" s="4" t="s">
        <v>65</v>
      </c>
      <c r="F29">
        <v>1406</v>
      </c>
      <c r="G29" t="str">
        <f t="shared" si="0"/>
        <v>تیر 1406</v>
      </c>
    </row>
    <row r="30" spans="1:7" x14ac:dyDescent="0.3">
      <c r="A30" s="2" t="s">
        <v>57</v>
      </c>
      <c r="B30" s="2" t="s">
        <v>50</v>
      </c>
      <c r="C30" s="2" t="s">
        <v>30</v>
      </c>
      <c r="D30" s="2" t="s">
        <v>51</v>
      </c>
      <c r="E30" s="4" t="s">
        <v>65</v>
      </c>
      <c r="F30">
        <v>1406</v>
      </c>
      <c r="G30" t="str">
        <f t="shared" si="0"/>
        <v>تیر 1406</v>
      </c>
    </row>
    <row r="31" spans="1:7" x14ac:dyDescent="0.3">
      <c r="A31" s="3" t="s">
        <v>58</v>
      </c>
      <c r="B31" s="3" t="s">
        <v>59</v>
      </c>
      <c r="C31" s="3" t="s">
        <v>34</v>
      </c>
      <c r="D31" s="3" t="s">
        <v>60</v>
      </c>
      <c r="E31" s="5" t="s">
        <v>64</v>
      </c>
      <c r="F31">
        <v>1406</v>
      </c>
      <c r="G31" t="str">
        <f t="shared" si="0"/>
        <v>شهریور 1406</v>
      </c>
    </row>
    <row r="32" spans="1:7" x14ac:dyDescent="0.3">
      <c r="A32" s="2" t="s">
        <v>61</v>
      </c>
      <c r="B32" s="2" t="s">
        <v>59</v>
      </c>
      <c r="C32" s="2" t="s">
        <v>34</v>
      </c>
      <c r="D32" s="2" t="s">
        <v>60</v>
      </c>
      <c r="E32" s="5" t="s">
        <v>64</v>
      </c>
      <c r="F32">
        <v>1406</v>
      </c>
      <c r="G32" t="str">
        <f t="shared" si="0"/>
        <v>شهریور 1406</v>
      </c>
    </row>
    <row r="33" spans="1:7" x14ac:dyDescent="0.3">
      <c r="A33" s="3" t="s">
        <v>62</v>
      </c>
      <c r="B33" s="3" t="s">
        <v>59</v>
      </c>
      <c r="C33" s="3" t="s">
        <v>34</v>
      </c>
      <c r="D33" s="3" t="s">
        <v>60</v>
      </c>
      <c r="E33" s="5" t="s">
        <v>64</v>
      </c>
      <c r="F33">
        <v>1406</v>
      </c>
      <c r="G33" t="str">
        <f t="shared" si="0"/>
        <v>شهریور 1406</v>
      </c>
    </row>
  </sheetData>
  <autoFilter ref="A1:D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DB58-497B-40F7-876B-F1F1B36F57E0}">
  <dimension ref="A3:B49"/>
  <sheetViews>
    <sheetView topLeftCell="A14" workbookViewId="0">
      <selection activeCell="B20" sqref="B20"/>
    </sheetView>
  </sheetViews>
  <sheetFormatPr defaultRowHeight="14.4" x14ac:dyDescent="0.3"/>
  <cols>
    <col min="1" max="1" width="23" bestFit="1" customWidth="1"/>
    <col min="2" max="2" width="15.5546875" bestFit="1" customWidth="1"/>
    <col min="3" max="3" width="16.5546875" bestFit="1" customWidth="1"/>
  </cols>
  <sheetData>
    <row r="3" spans="1:2" x14ac:dyDescent="0.3">
      <c r="A3" s="8" t="s">
        <v>75</v>
      </c>
      <c r="B3" t="s">
        <v>88</v>
      </c>
    </row>
    <row r="4" spans="1:2" x14ac:dyDescent="0.3">
      <c r="A4" s="9" t="s">
        <v>83</v>
      </c>
      <c r="B4" s="11">
        <v>1</v>
      </c>
    </row>
    <row r="5" spans="1:2" x14ac:dyDescent="0.3">
      <c r="A5" s="10" t="s">
        <v>12</v>
      </c>
      <c r="B5" s="11">
        <v>1</v>
      </c>
    </row>
    <row r="6" spans="1:2" x14ac:dyDescent="0.3">
      <c r="A6" s="9" t="s">
        <v>76</v>
      </c>
      <c r="B6" s="11">
        <v>3</v>
      </c>
    </row>
    <row r="7" spans="1:2" x14ac:dyDescent="0.3">
      <c r="A7" s="10" t="s">
        <v>16</v>
      </c>
      <c r="B7" s="11">
        <v>1</v>
      </c>
    </row>
    <row r="8" spans="1:2" x14ac:dyDescent="0.3">
      <c r="A8" s="10" t="s">
        <v>11</v>
      </c>
      <c r="B8" s="11">
        <v>1</v>
      </c>
    </row>
    <row r="9" spans="1:2" x14ac:dyDescent="0.3">
      <c r="A9" s="10" t="s">
        <v>4</v>
      </c>
      <c r="B9" s="11">
        <v>1</v>
      </c>
    </row>
    <row r="10" spans="1:2" x14ac:dyDescent="0.3">
      <c r="A10" s="9" t="s">
        <v>77</v>
      </c>
      <c r="B10" s="11">
        <v>4</v>
      </c>
    </row>
    <row r="11" spans="1:2" x14ac:dyDescent="0.3">
      <c r="A11" s="10" t="s">
        <v>23</v>
      </c>
      <c r="B11" s="11">
        <v>1</v>
      </c>
    </row>
    <row r="12" spans="1:2" x14ac:dyDescent="0.3">
      <c r="A12" s="10" t="s">
        <v>25</v>
      </c>
      <c r="B12" s="11">
        <v>1</v>
      </c>
    </row>
    <row r="13" spans="1:2" x14ac:dyDescent="0.3">
      <c r="A13" s="10" t="s">
        <v>24</v>
      </c>
      <c r="B13" s="11">
        <v>1</v>
      </c>
    </row>
    <row r="14" spans="1:2" x14ac:dyDescent="0.3">
      <c r="A14" s="10" t="s">
        <v>19</v>
      </c>
      <c r="B14" s="11">
        <v>1</v>
      </c>
    </row>
    <row r="15" spans="1:2" x14ac:dyDescent="0.3">
      <c r="A15" s="9" t="s">
        <v>82</v>
      </c>
      <c r="B15" s="11">
        <v>1</v>
      </c>
    </row>
    <row r="16" spans="1:2" x14ac:dyDescent="0.3">
      <c r="A16" s="10" t="s">
        <v>26</v>
      </c>
      <c r="B16" s="11">
        <v>1</v>
      </c>
    </row>
    <row r="17" spans="1:2" x14ac:dyDescent="0.3">
      <c r="A17" s="9" t="s">
        <v>79</v>
      </c>
      <c r="B17" s="11">
        <v>2</v>
      </c>
    </row>
    <row r="18" spans="1:2" x14ac:dyDescent="0.3">
      <c r="A18" s="10" t="s">
        <v>29</v>
      </c>
      <c r="B18" s="11">
        <v>1</v>
      </c>
    </row>
    <row r="19" spans="1:2" x14ac:dyDescent="0.3">
      <c r="A19" s="10" t="s">
        <v>32</v>
      </c>
      <c r="B19" s="11">
        <v>1</v>
      </c>
    </row>
    <row r="20" spans="1:2" x14ac:dyDescent="0.3">
      <c r="A20" s="9" t="s">
        <v>85</v>
      </c>
      <c r="B20" s="11">
        <v>1</v>
      </c>
    </row>
    <row r="21" spans="1:2" x14ac:dyDescent="0.3">
      <c r="A21" s="10" t="s">
        <v>33</v>
      </c>
      <c r="B21" s="11">
        <v>1</v>
      </c>
    </row>
    <row r="22" spans="1:2" x14ac:dyDescent="0.3">
      <c r="A22" s="9" t="s">
        <v>78</v>
      </c>
      <c r="B22" s="11">
        <v>4</v>
      </c>
    </row>
    <row r="23" spans="1:2" x14ac:dyDescent="0.3">
      <c r="A23" s="10" t="s">
        <v>40</v>
      </c>
      <c r="B23" s="11">
        <v>1</v>
      </c>
    </row>
    <row r="24" spans="1:2" x14ac:dyDescent="0.3">
      <c r="A24" s="10" t="s">
        <v>39</v>
      </c>
      <c r="B24" s="11">
        <v>1</v>
      </c>
    </row>
    <row r="25" spans="1:2" x14ac:dyDescent="0.3">
      <c r="A25" s="10" t="s">
        <v>36</v>
      </c>
      <c r="B25" s="11">
        <v>1</v>
      </c>
    </row>
    <row r="26" spans="1:2" x14ac:dyDescent="0.3">
      <c r="A26" s="10" t="s">
        <v>41</v>
      </c>
      <c r="B26" s="11">
        <v>1</v>
      </c>
    </row>
    <row r="27" spans="1:2" x14ac:dyDescent="0.3">
      <c r="A27" s="9" t="s">
        <v>81</v>
      </c>
      <c r="B27" s="11">
        <v>5</v>
      </c>
    </row>
    <row r="28" spans="1:2" x14ac:dyDescent="0.3">
      <c r="A28" s="10" t="s">
        <v>46</v>
      </c>
      <c r="B28" s="11">
        <v>1</v>
      </c>
    </row>
    <row r="29" spans="1:2" x14ac:dyDescent="0.3">
      <c r="A29" s="10" t="s">
        <v>48</v>
      </c>
      <c r="B29" s="11">
        <v>1</v>
      </c>
    </row>
    <row r="30" spans="1:2" x14ac:dyDescent="0.3">
      <c r="A30" s="10" t="s">
        <v>45</v>
      </c>
      <c r="B30" s="11">
        <v>1</v>
      </c>
    </row>
    <row r="31" spans="1:2" x14ac:dyDescent="0.3">
      <c r="A31" s="10" t="s">
        <v>47</v>
      </c>
      <c r="B31" s="11">
        <v>1</v>
      </c>
    </row>
    <row r="32" spans="1:2" x14ac:dyDescent="0.3">
      <c r="A32" s="10" t="s">
        <v>42</v>
      </c>
      <c r="B32" s="11">
        <v>1</v>
      </c>
    </row>
    <row r="33" spans="1:2" x14ac:dyDescent="0.3">
      <c r="A33" s="9" t="s">
        <v>80</v>
      </c>
      <c r="B33" s="11">
        <v>7</v>
      </c>
    </row>
    <row r="34" spans="1:2" x14ac:dyDescent="0.3">
      <c r="A34" s="10" t="s">
        <v>56</v>
      </c>
      <c r="B34" s="11">
        <v>1</v>
      </c>
    </row>
    <row r="35" spans="1:2" x14ac:dyDescent="0.3">
      <c r="A35" s="10" t="s">
        <v>57</v>
      </c>
      <c r="B35" s="11">
        <v>1</v>
      </c>
    </row>
    <row r="36" spans="1:2" x14ac:dyDescent="0.3">
      <c r="A36" s="10" t="s">
        <v>53</v>
      </c>
      <c r="B36" s="11">
        <v>1</v>
      </c>
    </row>
    <row r="37" spans="1:2" x14ac:dyDescent="0.3">
      <c r="A37" s="10" t="s">
        <v>54</v>
      </c>
      <c r="B37" s="11">
        <v>1</v>
      </c>
    </row>
    <row r="38" spans="1:2" x14ac:dyDescent="0.3">
      <c r="A38" s="10" t="s">
        <v>49</v>
      </c>
      <c r="B38" s="11">
        <v>1</v>
      </c>
    </row>
    <row r="39" spans="1:2" x14ac:dyDescent="0.3">
      <c r="A39" s="10" t="s">
        <v>52</v>
      </c>
      <c r="B39" s="11">
        <v>1</v>
      </c>
    </row>
    <row r="40" spans="1:2" x14ac:dyDescent="0.3">
      <c r="A40" s="10" t="s">
        <v>55</v>
      </c>
      <c r="B40" s="11">
        <v>1</v>
      </c>
    </row>
    <row r="41" spans="1:2" x14ac:dyDescent="0.3">
      <c r="A41" s="9" t="s">
        <v>84</v>
      </c>
      <c r="B41" s="11">
        <v>3</v>
      </c>
    </row>
    <row r="42" spans="1:2" x14ac:dyDescent="0.3">
      <c r="A42" s="10" t="s">
        <v>62</v>
      </c>
      <c r="B42" s="11">
        <v>1</v>
      </c>
    </row>
    <row r="43" spans="1:2" x14ac:dyDescent="0.3">
      <c r="A43" s="10" t="s">
        <v>61</v>
      </c>
      <c r="B43" s="11">
        <v>1</v>
      </c>
    </row>
    <row r="44" spans="1:2" x14ac:dyDescent="0.3">
      <c r="A44" s="10" t="s">
        <v>58</v>
      </c>
      <c r="B44" s="11">
        <v>1</v>
      </c>
    </row>
    <row r="45" spans="1:2" x14ac:dyDescent="0.3">
      <c r="A45" s="9" t="s">
        <v>86</v>
      </c>
      <c r="B45" s="11"/>
    </row>
    <row r="46" spans="1:2" x14ac:dyDescent="0.3">
      <c r="A46" s="10" t="s">
        <v>86</v>
      </c>
      <c r="B46" s="11"/>
    </row>
    <row r="47" spans="1:2" x14ac:dyDescent="0.3">
      <c r="A47" s="9" t="s">
        <v>92</v>
      </c>
      <c r="B47" s="11">
        <v>1</v>
      </c>
    </row>
    <row r="48" spans="1:2" x14ac:dyDescent="0.3">
      <c r="A48" s="10" t="s">
        <v>8</v>
      </c>
      <c r="B48" s="11">
        <v>1</v>
      </c>
    </row>
    <row r="49" spans="1:2" x14ac:dyDescent="0.3">
      <c r="A49" s="9" t="s">
        <v>87</v>
      </c>
      <c r="B49" s="1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4ED1-12C3-4F03-AA5B-16D768920CF7}">
  <dimension ref="A1:K35"/>
  <sheetViews>
    <sheetView tabSelected="1" workbookViewId="0">
      <selection activeCell="F1" sqref="F1:K22"/>
    </sheetView>
  </sheetViews>
  <sheetFormatPr defaultRowHeight="14.4" x14ac:dyDescent="0.3"/>
  <cols>
    <col min="1" max="1" width="11.88671875" bestFit="1" customWidth="1"/>
    <col min="2" max="2" width="24.109375" customWidth="1"/>
    <col min="6" max="6" width="12.6640625" bestFit="1" customWidth="1"/>
    <col min="7" max="7" width="15.5546875" bestFit="1" customWidth="1"/>
    <col min="8" max="8" width="18.109375" bestFit="1" customWidth="1"/>
    <col min="9" max="9" width="14.21875" customWidth="1"/>
    <col min="10" max="10" width="15.5546875" bestFit="1" customWidth="1"/>
    <col min="11" max="11" width="19" bestFit="1" customWidth="1"/>
  </cols>
  <sheetData>
    <row r="1" spans="1:11" ht="25.2" x14ac:dyDescent="0.45">
      <c r="A1" s="12" t="s">
        <v>89</v>
      </c>
      <c r="B1" s="12" t="s">
        <v>90</v>
      </c>
      <c r="F1" s="14">
        <v>1405</v>
      </c>
      <c r="G1" s="14"/>
      <c r="H1" s="14"/>
      <c r="I1" s="14">
        <v>1406</v>
      </c>
      <c r="J1" s="14"/>
      <c r="K1" s="14"/>
    </row>
    <row r="2" spans="1:11" ht="16.2" thickBot="1" x14ac:dyDescent="0.35">
      <c r="A2" s="12" t="s">
        <v>83</v>
      </c>
      <c r="B2" s="12">
        <v>1</v>
      </c>
      <c r="F2" s="23" t="s">
        <v>89</v>
      </c>
      <c r="G2" s="23" t="s">
        <v>88</v>
      </c>
      <c r="H2" s="23" t="s">
        <v>95</v>
      </c>
      <c r="I2" s="23" t="s">
        <v>89</v>
      </c>
      <c r="J2" s="23" t="s">
        <v>88</v>
      </c>
      <c r="K2" s="23" t="s">
        <v>95</v>
      </c>
    </row>
    <row r="3" spans="1:11" ht="16.2" thickBot="1" x14ac:dyDescent="0.35">
      <c r="A3" s="12" t="s">
        <v>92</v>
      </c>
      <c r="B3" s="12">
        <v>1</v>
      </c>
      <c r="F3" s="24" t="s">
        <v>83</v>
      </c>
      <c r="G3" s="27">
        <v>1</v>
      </c>
      <c r="H3" s="26" t="s">
        <v>12</v>
      </c>
      <c r="I3" s="24" t="s">
        <v>85</v>
      </c>
      <c r="J3" s="25">
        <v>1</v>
      </c>
      <c r="K3" s="26" t="s">
        <v>33</v>
      </c>
    </row>
    <row r="4" spans="1:11" ht="16.2" thickBot="1" x14ac:dyDescent="0.35">
      <c r="A4" s="12" t="s">
        <v>76</v>
      </c>
      <c r="B4" s="12">
        <v>3</v>
      </c>
      <c r="F4" s="24" t="s">
        <v>92</v>
      </c>
      <c r="G4" s="27">
        <v>1</v>
      </c>
      <c r="H4" s="19" t="s">
        <v>8</v>
      </c>
      <c r="I4" s="15" t="s">
        <v>78</v>
      </c>
      <c r="J4" s="16">
        <v>4</v>
      </c>
      <c r="K4" s="17" t="s">
        <v>40</v>
      </c>
    </row>
    <row r="5" spans="1:11" ht="15.6" x14ac:dyDescent="0.3">
      <c r="A5" s="12" t="s">
        <v>77</v>
      </c>
      <c r="B5" s="12">
        <v>4</v>
      </c>
      <c r="F5" s="37" t="s">
        <v>76</v>
      </c>
      <c r="G5" s="40">
        <v>3</v>
      </c>
      <c r="H5" s="17" t="s">
        <v>16</v>
      </c>
      <c r="I5" s="18"/>
      <c r="J5" s="13"/>
      <c r="K5" s="19" t="s">
        <v>39</v>
      </c>
    </row>
    <row r="6" spans="1:11" ht="15.6" x14ac:dyDescent="0.3">
      <c r="A6" s="12" t="s">
        <v>82</v>
      </c>
      <c r="B6" s="12">
        <v>1</v>
      </c>
      <c r="F6" s="38"/>
      <c r="G6" s="41"/>
      <c r="H6" s="19" t="s">
        <v>11</v>
      </c>
      <c r="I6" s="18"/>
      <c r="J6" s="13"/>
      <c r="K6" s="19" t="s">
        <v>36</v>
      </c>
    </row>
    <row r="7" spans="1:11" ht="16.2" thickBot="1" x14ac:dyDescent="0.35">
      <c r="A7" s="12" t="s">
        <v>79</v>
      </c>
      <c r="B7" s="12">
        <v>2</v>
      </c>
      <c r="F7" s="39"/>
      <c r="G7" s="42"/>
      <c r="H7" s="22" t="s">
        <v>4</v>
      </c>
      <c r="I7" s="20"/>
      <c r="J7" s="21"/>
      <c r="K7" s="22" t="s">
        <v>41</v>
      </c>
    </row>
    <row r="8" spans="1:11" ht="15.6" x14ac:dyDescent="0.3">
      <c r="A8" s="12" t="s">
        <v>93</v>
      </c>
      <c r="B8" s="12">
        <v>0</v>
      </c>
      <c r="F8" s="15" t="s">
        <v>77</v>
      </c>
      <c r="G8" s="16">
        <v>4</v>
      </c>
      <c r="H8" s="17" t="s">
        <v>23</v>
      </c>
      <c r="I8" s="15" t="s">
        <v>81</v>
      </c>
      <c r="J8" s="16">
        <v>5</v>
      </c>
      <c r="K8" s="17" t="s">
        <v>46</v>
      </c>
    </row>
    <row r="9" spans="1:11" ht="15.6" x14ac:dyDescent="0.3">
      <c r="A9" s="12" t="s">
        <v>85</v>
      </c>
      <c r="B9" s="12">
        <v>1</v>
      </c>
      <c r="F9" s="18"/>
      <c r="G9" s="13"/>
      <c r="H9" s="19" t="s">
        <v>25</v>
      </c>
      <c r="I9" s="18"/>
      <c r="J9" s="13"/>
      <c r="K9" s="19" t="s">
        <v>48</v>
      </c>
    </row>
    <row r="10" spans="1:11" ht="15.6" x14ac:dyDescent="0.3">
      <c r="A10" s="12" t="s">
        <v>78</v>
      </c>
      <c r="B10" s="12">
        <v>4</v>
      </c>
      <c r="F10" s="18"/>
      <c r="G10" s="13"/>
      <c r="H10" s="19" t="s">
        <v>24</v>
      </c>
      <c r="I10" s="18"/>
      <c r="J10" s="13"/>
      <c r="K10" s="19" t="s">
        <v>45</v>
      </c>
    </row>
    <row r="11" spans="1:11" ht="16.2" thickBot="1" x14ac:dyDescent="0.35">
      <c r="A11" s="12" t="s">
        <v>81</v>
      </c>
      <c r="B11" s="12">
        <v>5</v>
      </c>
      <c r="F11" s="20"/>
      <c r="G11" s="21"/>
      <c r="H11" s="22" t="s">
        <v>19</v>
      </c>
      <c r="I11" s="18"/>
      <c r="J11" s="13"/>
      <c r="K11" s="19" t="s">
        <v>47</v>
      </c>
    </row>
    <row r="12" spans="1:11" ht="16.2" thickBot="1" x14ac:dyDescent="0.35">
      <c r="A12" s="12" t="s">
        <v>80</v>
      </c>
      <c r="B12" s="12">
        <v>7</v>
      </c>
      <c r="F12" s="24" t="s">
        <v>82</v>
      </c>
      <c r="G12" s="27">
        <v>1</v>
      </c>
      <c r="H12" s="26" t="s">
        <v>26</v>
      </c>
      <c r="I12" s="20"/>
      <c r="J12" s="21"/>
      <c r="K12" s="22" t="s">
        <v>42</v>
      </c>
    </row>
    <row r="13" spans="1:11" ht="15.6" x14ac:dyDescent="0.3">
      <c r="A13" s="12" t="s">
        <v>94</v>
      </c>
      <c r="B13" s="12">
        <v>0</v>
      </c>
      <c r="F13" s="15" t="s">
        <v>79</v>
      </c>
      <c r="G13" s="16">
        <v>2</v>
      </c>
      <c r="H13" s="17" t="s">
        <v>29</v>
      </c>
      <c r="I13" s="15" t="s">
        <v>80</v>
      </c>
      <c r="J13" s="16">
        <v>7</v>
      </c>
      <c r="K13" s="17" t="s">
        <v>56</v>
      </c>
    </row>
    <row r="14" spans="1:11" ht="16.2" thickBot="1" x14ac:dyDescent="0.35">
      <c r="A14" s="12" t="s">
        <v>84</v>
      </c>
      <c r="B14" s="12">
        <v>3</v>
      </c>
      <c r="F14" s="20"/>
      <c r="G14" s="21"/>
      <c r="H14" s="22" t="s">
        <v>32</v>
      </c>
      <c r="I14" s="18"/>
      <c r="J14" s="13"/>
      <c r="K14" s="19" t="s">
        <v>57</v>
      </c>
    </row>
    <row r="15" spans="1:11" ht="15.6" x14ac:dyDescent="0.3">
      <c r="A15" s="12" t="s">
        <v>91</v>
      </c>
      <c r="B15" s="12">
        <v>32</v>
      </c>
      <c r="F15" s="29"/>
      <c r="G15" s="30"/>
      <c r="H15" s="31"/>
      <c r="I15" s="18"/>
      <c r="J15" s="13"/>
      <c r="K15" s="19" t="s">
        <v>53</v>
      </c>
    </row>
    <row r="16" spans="1:11" x14ac:dyDescent="0.3">
      <c r="F16" s="32"/>
      <c r="G16" s="33"/>
      <c r="H16" s="34"/>
      <c r="I16" s="18"/>
      <c r="J16" s="13"/>
      <c r="K16" s="19" t="s">
        <v>54</v>
      </c>
    </row>
    <row r="17" spans="6:11" x14ac:dyDescent="0.3">
      <c r="F17" s="32"/>
      <c r="G17" s="33"/>
      <c r="H17" s="34"/>
      <c r="I17" s="18"/>
      <c r="J17" s="13"/>
      <c r="K17" s="19" t="s">
        <v>49</v>
      </c>
    </row>
    <row r="18" spans="6:11" x14ac:dyDescent="0.3">
      <c r="F18" s="32"/>
      <c r="G18" s="33"/>
      <c r="H18" s="34"/>
      <c r="I18" s="18"/>
      <c r="J18" s="13"/>
      <c r="K18" s="19" t="s">
        <v>52</v>
      </c>
    </row>
    <row r="19" spans="6:11" ht="15" thickBot="1" x14ac:dyDescent="0.35">
      <c r="F19" s="32"/>
      <c r="G19" s="33"/>
      <c r="H19" s="34"/>
      <c r="I19" s="20"/>
      <c r="J19" s="21"/>
      <c r="K19" s="22" t="s">
        <v>55</v>
      </c>
    </row>
    <row r="20" spans="6:11" x14ac:dyDescent="0.3">
      <c r="F20" s="32"/>
      <c r="G20" s="33"/>
      <c r="H20" s="34"/>
      <c r="I20" s="15" t="s">
        <v>84</v>
      </c>
      <c r="J20" s="16">
        <v>3</v>
      </c>
      <c r="K20" s="17" t="s">
        <v>62</v>
      </c>
    </row>
    <row r="21" spans="6:11" x14ac:dyDescent="0.3">
      <c r="F21" s="32"/>
      <c r="G21" s="33"/>
      <c r="H21" s="34"/>
      <c r="I21" s="18"/>
      <c r="J21" s="13"/>
      <c r="K21" s="19" t="s">
        <v>61</v>
      </c>
    </row>
    <row r="22" spans="6:11" ht="15" thickBot="1" x14ac:dyDescent="0.35">
      <c r="F22" s="28"/>
      <c r="G22" s="35"/>
      <c r="H22" s="36"/>
      <c r="I22" s="20"/>
      <c r="J22" s="21"/>
      <c r="K22" s="22" t="s">
        <v>58</v>
      </c>
    </row>
    <row r="35" spans="7:7" x14ac:dyDescent="0.3">
      <c r="G35" s="10"/>
    </row>
  </sheetData>
  <mergeCells count="17">
    <mergeCell ref="G13:G14"/>
    <mergeCell ref="F13:F14"/>
    <mergeCell ref="F5:F7"/>
    <mergeCell ref="G5:G7"/>
    <mergeCell ref="F15:H22"/>
    <mergeCell ref="G8:G11"/>
    <mergeCell ref="F1:H1"/>
    <mergeCell ref="I1:K1"/>
    <mergeCell ref="I20:I22"/>
    <mergeCell ref="J20:J22"/>
    <mergeCell ref="I13:I19"/>
    <mergeCell ref="J13:J19"/>
    <mergeCell ref="I8:I12"/>
    <mergeCell ref="J8:J12"/>
    <mergeCell ref="I4:I7"/>
    <mergeCell ref="J4:J7"/>
    <mergeCell ref="F8:F11"/>
  </mergeCells>
  <conditionalFormatting sqref="A1:B15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{4E81D7DD-F622-40C6-9244-4C2D56851E61}</x14:id>
        </ext>
      </extLst>
    </cfRule>
  </conditionalFormatting>
  <conditionalFormatting sqref="B2:B1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{0E7EFDCE-405C-49C8-BA49-5ADD8FE4AA63}</x14:id>
        </ext>
      </extLst>
    </cfRule>
  </conditionalFormatting>
  <conditionalFormatting sqref="B2:B1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{E09160C5-1C45-46C6-A6F9-7E54AC631D65}</x14:id>
        </ext>
      </extLst>
    </cfRule>
  </conditionalFormatting>
  <conditionalFormatting sqref="J3:J22 G3:G5 G8:G13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{9CEEBBEC-127F-4781-B6EE-C0FC108A81DF}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1D7DD-F622-40C6-9244-4C2D56851E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A1:B15</xm:sqref>
        </x14:conditionalFormatting>
        <x14:conditionalFormatting xmlns:xm="http://schemas.microsoft.com/office/excel/2006/main">
          <x14:cfRule type="dataBar" id="{0E7EFDCE-405C-49C8-BA49-5ADD8FE4AA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B2:B14</xm:sqref>
        </x14:conditionalFormatting>
        <x14:conditionalFormatting xmlns:xm="http://schemas.microsoft.com/office/excel/2006/main">
          <x14:cfRule type="dataBar" id="{E09160C5-1C45-46C6-A6F9-7E54AC631D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B2:B15</xm:sqref>
        </x14:conditionalFormatting>
        <x14:conditionalFormatting xmlns:xm="http://schemas.microsoft.com/office/excel/2006/main">
          <x14:cfRule type="dataBar" id="{9CEEBBEC-127F-4781-B6EE-C0FC108A81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J3:J22 G3:G5 G8:G13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Scale Up</vt:lpstr>
      <vt:lpstr>Pivot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2026-08-21T06:06:43Z</dcterms:created>
  <dcterms:modified xsi:type="dcterms:W3CDTF">2026-08-21T12:54:31Z</dcterms:modified>
</cp:coreProperties>
</file>